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1D1A"/>
      <sz val="20"/>
    </font>
    <font>
      <name val="Calibri"/>
      <i val="1"/>
      <color rgb="006E6659"/>
      <sz val="9"/>
    </font>
    <font>
      <name val="Calibri"/>
      <b val="1"/>
      <color rgb="00B0654A"/>
      <sz val="9"/>
    </font>
    <font>
      <name val="Calibri"/>
      <b val="1"/>
      <color rgb="00FFFFFF"/>
      <sz val="9"/>
    </font>
    <font>
      <name val="Calibri"/>
      <color rgb="001F1D1A"/>
      <sz val="11"/>
    </font>
    <font>
      <name val="Calibri"/>
      <b val="1"/>
      <color rgb="001F1D1A"/>
      <sz val="11"/>
    </font>
    <font>
      <name val="Calibri"/>
      <b val="1"/>
      <color rgb="00B0654A"/>
      <sz val="14"/>
    </font>
  </fonts>
  <fills count="5">
    <fill>
      <patternFill/>
    </fill>
    <fill>
      <patternFill patternType="gray125"/>
    </fill>
    <fill>
      <patternFill patternType="solid">
        <fgColor rgb="001F1D1A"/>
      </patternFill>
    </fill>
    <fill>
      <patternFill patternType="solid">
        <fgColor rgb="00FFFDF7"/>
      </patternFill>
    </fill>
    <fill>
      <patternFill patternType="solid">
        <fgColor rgb="00F7F3EB"/>
      </patternFill>
    </fill>
  </fills>
  <borders count="2">
    <border>
      <left/>
      <right/>
      <top/>
      <bottom/>
      <diagonal/>
    </border>
    <border>
      <left style="thin">
        <color rgb="00DED6C8"/>
      </left>
      <right style="thin">
        <color rgb="00DED6C8"/>
      </right>
      <top style="thin">
        <color rgb="00DED6C8"/>
      </top>
      <bottom style="thin">
        <color rgb="00DED6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4" fontId="0" fillId="3" borderId="1" pivotButton="0" quotePrefix="0" xfId="0"/>
    <xf numFmtId="9" fontId="0" fillId="3" borderId="1" pivotButton="0" quotePrefix="0" xfId="0"/>
    <xf numFmtId="4" fontId="6" fillId="4" borderId="1" pivotButton="0" quotePrefix="0" xfId="0"/>
    <xf numFmtId="0" fontId="0" fillId="3" borderId="1" pivotButton="0" quotePrefix="0" xfId="0"/>
    <xf numFmtId="3" fontId="6" fillId="4" borderId="1" pivotButton="0" quotePrefix="0" xfId="0"/>
    <xf numFmtId="4" fontId="7" fillId="4" borderId="1" pivotButton="0" quotePrefix="0" xfId="0"/>
    <xf numFmtId="3" fontId="0" fillId="3" borderId="1" pivotButton="0" quotePrefix="0" xfId="0"/>
    <xf numFmtId="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8" customWidth="1" min="3" max="3"/>
    <col width="4" customWidth="1" min="4" max="4"/>
  </cols>
  <sheetData>
    <row r="1" ht="28" customHeight="1">
      <c r="A1" s="1" t="inlineStr">
        <is>
          <t>Pricing Calculator</t>
        </is>
      </c>
    </row>
    <row r="2">
      <c r="A2" s="2" t="inlineStr">
        <is>
          <t>Fill in only the shaded cells. Everything else calculates itself.</t>
        </is>
      </c>
    </row>
    <row r="3">
      <c r="A3" s="3" t="inlineStr">
        <is>
          <t>HERERA  ·  SMALL BUSINESS TOOLKIT</t>
        </is>
      </c>
    </row>
    <row r="5" ht="18" customHeight="1">
      <c r="A5" s="4" t="inlineStr">
        <is>
          <t>1 · WHAT YOU NEED TO EARN</t>
        </is>
      </c>
      <c r="B5" s="4" t="n"/>
      <c r="C5" s="4" t="n"/>
      <c r="D5" s="4" t="n"/>
    </row>
    <row r="6">
      <c r="A6" s="5" t="inlineStr">
        <is>
          <t>Take-home pay you want per year</t>
        </is>
      </c>
      <c r="B6" s="6" t="n">
        <v>60000</v>
      </c>
      <c r="C6" s="2" t="inlineStr">
        <is>
          <t>Be honest. This is salary, not revenue.</t>
        </is>
      </c>
    </row>
    <row r="7">
      <c r="A7" s="5" t="inlineStr">
        <is>
          <t>Business costs per year</t>
        </is>
      </c>
      <c r="B7" s="6" t="n">
        <v>6000</v>
      </c>
      <c r="C7" s="2" t="inlineStr">
        <is>
          <t>Software, fees, equipment, marketing, accountant.</t>
        </is>
      </c>
    </row>
    <row r="8">
      <c r="A8" s="5" t="inlineStr">
        <is>
          <t>Tax set-aside</t>
        </is>
      </c>
      <c r="B8" s="7" t="n">
        <v>0.25</v>
      </c>
      <c r="C8" s="2" t="inlineStr">
        <is>
          <t>Check your local rate. Guessing low here is why people run out of money.</t>
        </is>
      </c>
    </row>
    <row r="9">
      <c r="A9" s="5" t="inlineStr">
        <is>
          <t>Revenue you actually need</t>
        </is>
      </c>
      <c r="B9" s="8">
        <f>(B6+B7)/(1-B8)</f>
        <v/>
      </c>
      <c r="C9" s="2" t="inlineStr">
        <is>
          <t>What the business must bill before tax.</t>
        </is>
      </c>
    </row>
    <row r="11" ht="18" customHeight="1">
      <c r="A11" s="4" t="inlineStr">
        <is>
          <t>2 · HOW MUCH YOU CAN ACTUALLY SELL</t>
        </is>
      </c>
      <c r="B11" s="4" t="n"/>
      <c r="C11" s="4" t="n"/>
      <c r="D11" s="4" t="n"/>
    </row>
    <row r="12">
      <c r="A12" s="5" t="inlineStr">
        <is>
          <t>Working weeks per year</t>
        </is>
      </c>
      <c r="B12" s="9" t="n">
        <v>46</v>
      </c>
      <c r="C12" s="2" t="inlineStr">
        <is>
          <t>52 minus holiday and sick time. Nobody works 52.</t>
        </is>
      </c>
    </row>
    <row r="13">
      <c r="A13" s="5" t="inlineStr">
        <is>
          <t>Working hours per week</t>
        </is>
      </c>
      <c r="B13" s="9" t="n">
        <v>40</v>
      </c>
    </row>
    <row r="14">
      <c r="A14" s="5" t="inlineStr">
        <is>
          <t>% of hours that are billable</t>
        </is>
      </c>
      <c r="B14" s="7" t="n">
        <v>0.6</v>
      </c>
      <c r="C14" s="2" t="inlineStr">
        <is>
          <t>Admin, sales and marketing are not billable. 60% is realistic; 80% is a fantasy.</t>
        </is>
      </c>
    </row>
    <row r="15">
      <c r="A15" s="5" t="inlineStr">
        <is>
          <t>Billable hours per year</t>
        </is>
      </c>
      <c r="B15" s="10">
        <f>B12*B13*B14</f>
        <v/>
      </c>
      <c r="C15" s="2" t="inlineStr">
        <is>
          <t>The hours you can actually invoice.</t>
        </is>
      </c>
    </row>
    <row r="17" ht="18" customHeight="1">
      <c r="A17" s="4" t="inlineStr">
        <is>
          <t>3 · YOUR NUMBER</t>
        </is>
      </c>
      <c r="B17" s="4" t="n"/>
      <c r="C17" s="4" t="n"/>
      <c r="D17" s="4" t="n"/>
    </row>
    <row r="18">
      <c r="A18" s="5" t="inlineStr">
        <is>
          <t>Minimum hourly rate</t>
        </is>
      </c>
      <c r="B18" s="11">
        <f>B9/B15</f>
        <v/>
      </c>
      <c r="C18" s="2" t="inlineStr">
        <is>
          <t>Below this you are paying to work.</t>
        </is>
      </c>
    </row>
    <row r="19">
      <c r="A19" s="5" t="inlineStr">
        <is>
          <t>Minimum day rate</t>
        </is>
      </c>
      <c r="B19" s="11">
        <f>B18*B13/5</f>
        <v/>
      </c>
      <c r="C19" s="2" t="inlineStr">
        <is>
          <t>Round up to something memorable.</t>
        </is>
      </c>
    </row>
    <row r="21" ht="18" customHeight="1">
      <c r="A21" s="4" t="inlineStr">
        <is>
          <t>4 · PRICE A SPECIFIC PROJECT</t>
        </is>
      </c>
      <c r="B21" s="4" t="n"/>
      <c r="C21" s="4" t="n"/>
      <c r="D21" s="4" t="n"/>
    </row>
    <row r="22">
      <c r="A22" s="5" t="inlineStr">
        <is>
          <t>Hours you estimate</t>
        </is>
      </c>
      <c r="B22" s="12" t="n">
        <v>20</v>
      </c>
    </row>
    <row r="23">
      <c r="A23" s="5" t="inlineStr">
        <is>
          <t>Add a buffer for the unexpected</t>
        </is>
      </c>
      <c r="B23" s="7" t="n">
        <v>0.2</v>
      </c>
      <c r="C23" s="2" t="inlineStr">
        <is>
          <t>Every project runs over. 20% is the minimum.</t>
        </is>
      </c>
    </row>
    <row r="24">
      <c r="A24" s="5" t="inlineStr">
        <is>
          <t>Direct costs (stock, licences, subcontractors)</t>
        </is>
      </c>
      <c r="B24" s="6" t="n">
        <v>0</v>
      </c>
    </row>
    <row r="25">
      <c r="A25" s="5" t="inlineStr">
        <is>
          <t>Profit margin on top</t>
        </is>
      </c>
      <c r="B25" s="7" t="n">
        <v>0.2</v>
      </c>
      <c r="C25" s="2" t="inlineStr">
        <is>
          <t>Profit is separate from your salary. It is what lets the business grow.</t>
        </is>
      </c>
    </row>
    <row r="26">
      <c r="A26" s="5" t="inlineStr">
        <is>
          <t>Quote this project at</t>
        </is>
      </c>
      <c r="B26" s="11">
        <f>((B22*(1+B23)*B18)+B24)*(1+B25)</f>
        <v/>
      </c>
      <c r="C26" s="2" t="inlineStr">
        <is>
          <t>This is your price. Do not discount it in your head before you say it.</t>
        </is>
      </c>
    </row>
    <row r="27">
      <c r="A27" s="5" t="inlineStr">
        <is>
          <t>Deposit to invoice up front (50%)</t>
        </is>
      </c>
      <c r="B27" s="13">
        <f>B26*0.5</f>
        <v/>
      </c>
      <c r="C27" s="2" t="inlineStr">
        <is>
          <t>Work starts when this clears. Not before.</t>
        </is>
      </c>
    </row>
    <row r="29">
      <c r="A29" s="2" t="inlineStr">
        <is>
          <t>If your current rate is well below row 18, that is not a sign you are bad at this — it is a sign nobody ever showed you the arithmetic.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2026-07-25T10:41:38Z</dcterms:created>
  <dcterms:modified xsi:type="dcterms:W3CDTF">2026-07-25T10:41:38Z</dcterms:modified>
</cp:coreProperties>
</file>